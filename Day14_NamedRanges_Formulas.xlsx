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1562EBB6-5E7B-428D-AF95-A01F985D725B}" xr6:coauthVersionLast="47" xr6:coauthVersionMax="47" xr10:uidLastSave="{00000000-0000-0000-0000-000000000000}"/>
  <bookViews>
    <workbookView xWindow="-108" yWindow="-108" windowWidth="23256" windowHeight="12456" xr2:uid="{1F843A90-B8E5-4C70-B0EB-8ECA4A185580}"/>
  </bookViews>
  <sheets>
    <sheet name="Named Ranges" sheetId="1" r:id="rId1"/>
  </sheets>
  <definedNames>
    <definedName name="Cost">'Named Ranges'!$B$3</definedName>
    <definedName name="customers">'Named Ranges'!$B$5</definedName>
    <definedName name="Orders">'Named Ranges'!$B$4</definedName>
    <definedName name="Profit" comment="=sales-cost">Sales-Cost</definedName>
    <definedName name="Returns">'Named Ranges'!$B$6</definedName>
    <definedName name="Sales">'Named Ranges'!$B$2</definedName>
    <definedName name="Target">'Named Ranges'!$B$7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<sst xmlns="http://schemas.openxmlformats.org/spreadsheetml/2006/main" count="16" uniqueCount="16">
  <si>
    <t>Metric</t>
  </si>
  <si>
    <t>Value</t>
  </si>
  <si>
    <t>Total Sales</t>
  </si>
  <si>
    <t>Total Cost</t>
  </si>
  <si>
    <t>Total Orders</t>
  </si>
  <si>
    <t>Total Customers</t>
  </si>
  <si>
    <t>Returns</t>
  </si>
  <si>
    <t>Target Sales</t>
  </si>
  <si>
    <t>KPI</t>
  </si>
  <si>
    <t>Formula Result</t>
  </si>
  <si>
    <t>Gross Profit</t>
  </si>
  <si>
    <t>Profit Margin</t>
  </si>
  <si>
    <t>Avg.Order Per Customer</t>
  </si>
  <si>
    <t>Return Rate</t>
  </si>
  <si>
    <t>Target Achivement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</si>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</sst>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/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3943-F75C-41DA-B751-1445C6323A23}">
  <dimension ref="A1:E16"/>
  <sheetViews>
    <sheetView tabSelected="1" workbookViewId="0">
      <selection activeCell="A17" sqref="A17"/>
    </sheetView>
  </sheetViews>
  <sheetFormatPr defaultRowHeight="14.4" x14ac:dyDescent="0.3"/>
  <cols>
    <col min="1" max="1" width="20.44140625" customWidth="1"/>
    <col min="2" max="2" width="16.88671875" customWidth="1"/>
  </cols>
  <sheetData>
    <row r="1" spans="1:5" s="1" customFormat="1" x14ac:dyDescent="0.3">
      <c r="A1" s="2" t="s">
        <v>0</v>
      </c>
      <c r="B1" s="2" t="s">
        <v>1</v>
      </c>
    </row>
    <row r="2" spans="1:5" x14ac:dyDescent="0.3">
      <c r="A2" s="3" t="s">
        <v>2</v>
      </c>
      <c r="B2" s="3">
        <v>850000</v>
      </c>
    </row>
    <row r="3" spans="1:5" x14ac:dyDescent="0.3">
      <c r="A3" s="3" t="s">
        <v>3</v>
      </c>
      <c r="B3" s="3">
        <v>630000</v>
      </c>
    </row>
    <row r="4" spans="1:5" x14ac:dyDescent="0.3">
      <c r="A4" s="3" t="s">
        <v>4</v>
      </c>
      <c r="B4" s="3">
        <v>125</v>
      </c>
    </row>
    <row r="5" spans="1:5" x14ac:dyDescent="0.3">
      <c r="A5" s="3" t="s">
        <v>5</v>
      </c>
      <c r="B5" s="3">
        <v>90</v>
      </c>
    </row>
    <row r="6" spans="1:5" x14ac:dyDescent="0.3">
      <c r="A6" s="3" t="s">
        <v>6</v>
      </c>
      <c r="B6" s="3">
        <v>5</v>
      </c>
    </row>
    <row r="7" spans="1:5" x14ac:dyDescent="0.3">
      <c r="A7" s="3" t="s">
        <v>7</v>
      </c>
      <c r="B7" s="3">
        <v>900000</v>
      </c>
    </row>
    <row r="9" spans="1:5" s="1" customFormat="1" x14ac:dyDescent="0.3">
      <c r="A9" s="2" t="s">
        <v>8</v>
      </c>
      <c r="B9" s="2" t="s">
        <v>9</v>
      </c>
    </row>
    <row r="10" spans="1:5" x14ac:dyDescent="0.3">
      <c r="A10" s="3" t="s">
        <v>10</v>
      </c>
      <c r="B10" s="3">
        <f>Sales-Cost</f>
        <v>220000</v>
      </c>
    </row>
    <row r="11" spans="1:5" x14ac:dyDescent="0.3">
      <c r="A11" s="3" t="s">
        <v>11</v>
      </c>
      <c r="B11" s="5">
        <f>(Sales-Cost)/Sales</f>
        <v>0.25882352941176473</v>
      </c>
    </row>
    <row r="12" spans="1:5" x14ac:dyDescent="0.3">
      <c r="A12" s="3" t="s">
        <v>12</v>
      </c>
      <c r="B12" s="5">
        <f>Orders/customers</f>
        <v>1.3888888888888888</v>
      </c>
    </row>
    <row r="13" spans="1:5" x14ac:dyDescent="0.3">
      <c r="A13" s="3" t="s">
        <v>13</v>
      </c>
      <c r="B13" s="3">
        <f>Returns/Orders</f>
        <v>0.04</v>
      </c>
    </row>
    <row r="14" spans="1:5" x14ac:dyDescent="0.3">
      <c r="A14" s="3" t="s">
        <v>14</v>
      </c>
      <c r="B14" s="5">
        <f>Sales/Target</f>
        <v>0.94444444444444442</v>
      </c>
    </row>
    <row r="16" spans="1:5" x14ac:dyDescent="0.3">
      <c r="A16" t="s">
        <v>15</v>
      </c>
      <c r="B16">
        <f>Profit</f>
        <v>220000</v>
      </c>
      <c r="E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Named Ranges</vt:lpstr>
      <vt:lpstr>Cost</vt:lpstr>
      <vt:lpstr>customers</vt:lpstr>
      <vt:lpstr>Orders</vt:lpstr>
      <vt:lpstr>Returns</vt:lpstr>
      <vt:lpstr>Sales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2025-10-24T09:07:37Z</dcterms:created>
  <dcterms:modified xsi:type="dcterms:W3CDTF">2025-10-24T09:20:19Z</dcterms:modified>
</cp:coreProperties>
</file>